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/>
  <xr:revisionPtr revIDLastSave="0" documentId="8_{5258B1EC-888E-4091-A5F9-428EAB0464F8}" xr6:coauthVersionLast="47" xr6:coauthVersionMax="47" xr10:uidLastSave="{00000000-0000-0000-0000-000000000000}"/>
  <bookViews>
    <workbookView xWindow="0" yWindow="0" windowWidth="23040" windowHeight="10440" xr2:uid="{00000000-000D-0000-FFFF-FFFF00000000}"/>
  </bookViews>
  <sheets>
    <sheet name="Datas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L9" i="2"/>
  <c r="L6" i="2"/>
  <c r="Q3" i="2"/>
  <c r="L3" i="2"/>
</calcChain>
</file>

<file path=xl/sharedStrings.xml><?xml version="1.0" encoding="utf-8"?>
<sst xmlns="http://schemas.openxmlformats.org/spreadsheetml/2006/main" count="150" uniqueCount="116">
  <si>
    <t>Product ID</t>
  </si>
  <si>
    <t>Manufacturing Date</t>
  </si>
  <si>
    <t>Country Code</t>
  </si>
  <si>
    <t>Product Name</t>
  </si>
  <si>
    <t>Brand Name</t>
  </si>
  <si>
    <t>Product Brand</t>
  </si>
  <si>
    <t>Price ($)</t>
  </si>
  <si>
    <t>Quantity</t>
  </si>
  <si>
    <t>Category</t>
  </si>
  <si>
    <t>28-JAN-US</t>
  </si>
  <si>
    <t>Laptop</t>
  </si>
  <si>
    <t>Dell</t>
  </si>
  <si>
    <t>Electronics</t>
  </si>
  <si>
    <t>Check for missing values in the 'Price' column. How would you handle products with</t>
  </si>
  <si>
    <t>missing price information</t>
  </si>
  <si>
    <t xml:space="preserve"> </t>
  </si>
  <si>
    <t>15-FEB-US</t>
  </si>
  <si>
    <t>Sneakers</t>
  </si>
  <si>
    <t>Nike</t>
  </si>
  <si>
    <t>Fashion</t>
  </si>
  <si>
    <t>COUNTBLANK(D2:D35)</t>
  </si>
  <si>
    <t>AVERAGE(D2:D35)</t>
  </si>
  <si>
    <t>03-MAR-US</t>
  </si>
  <si>
    <t>Coffee Maker</t>
  </si>
  <si>
    <t>Keurig</t>
  </si>
  <si>
    <t>Kitchen</t>
  </si>
  <si>
    <t>11-APR-US</t>
  </si>
  <si>
    <t>Smartphone</t>
  </si>
  <si>
    <t>Samsung</t>
  </si>
  <si>
    <t>If there are products with missing categories, propose a strategy to impute or deal</t>
  </si>
  <si>
    <t>with these missing values effectively.</t>
  </si>
  <si>
    <t>22-MAY-US</t>
  </si>
  <si>
    <t>Backpack</t>
  </si>
  <si>
    <t>North Face</t>
  </si>
  <si>
    <t>COUNTBLANK(F2:F35)</t>
  </si>
  <si>
    <t>07-JUN-UK</t>
  </si>
  <si>
    <t>Headphones</t>
  </si>
  <si>
    <t>Sony</t>
  </si>
  <si>
    <t>19-JUL-UK</t>
  </si>
  <si>
    <t>T-shirt</t>
  </si>
  <si>
    <t>Adidas</t>
  </si>
  <si>
    <t>Identify any inconsistent text formats present in the "Product Name" column.</t>
  </si>
  <si>
    <t>23-AUG-UK</t>
  </si>
  <si>
    <t>Blender</t>
  </si>
  <si>
    <t>Ninja</t>
  </si>
  <si>
    <t>PROPER(B2)</t>
  </si>
  <si>
    <t>05-SEP-UK</t>
  </si>
  <si>
    <t>Tablet</t>
  </si>
  <si>
    <t>Apple</t>
  </si>
  <si>
    <t>14-OCT-UK</t>
  </si>
  <si>
    <t>Hiking Boots</t>
  </si>
  <si>
    <t>Timberland</t>
  </si>
  <si>
    <t>Outdoor</t>
  </si>
  <si>
    <t>Identify any typos present in the "Category" column.</t>
  </si>
  <si>
    <t>17-JUN-IN</t>
  </si>
  <si>
    <t>HP</t>
  </si>
  <si>
    <t>ctrl+H</t>
  </si>
  <si>
    <t>25-NOV-AU</t>
  </si>
  <si>
    <t>08-DEC-DE</t>
  </si>
  <si>
    <t>Nespresso</t>
  </si>
  <si>
    <t>Use the find and replace function to standardize the text formats in the "Product</t>
  </si>
  <si>
    <t>Name" column and fix any typos or misspellings in the "Category" column.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</si>
  <si>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</si>
  <si>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</si>
  <si>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</si>
  <si>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</si>
  <si>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</si>
  <si>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</si>
  <si>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</si>
  <si>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</si>
  <si>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</si>
  <si>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Identify any duplicate rows within the dataset based on the entirety of each row, and</t>
  </si>
  <si>
    <t>remove them if any</t>
  </si>
  <si>
    <t>20-AUG-CN</t>
  </si>
  <si>
    <t>Huawei</t>
  </si>
  <si>
    <t>Data--&gt;remove duplicates</t>
  </si>
  <si>
    <t>27-JAN-IT</t>
  </si>
  <si>
    <t>Asus</t>
  </si>
  <si>
    <t>01-MAR-UK</t>
  </si>
  <si>
    <t>Sunglasses</t>
  </si>
  <si>
    <t>Oakley</t>
  </si>
  <si>
    <t>Merge the "Brand Name" and "Product Name" columns into one column named</t>
  </si>
  <si>
    <t>Product Brand.</t>
  </si>
  <si>
    <t>14-AUG-US</t>
  </si>
  <si>
    <t>Camping Tent</t>
  </si>
  <si>
    <t>Coleman</t>
  </si>
  <si>
    <t>CONCATENATE(D2,"-",E2)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</si>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</sst>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0" formatCode="_ [$₹-4009]\ * #,##0_ ;_ [$₹-4009]\ * \-#,##0_ ;_ [$₹-4009]\ * &quot;-&quot;_ ;_ @_ "/>
    <numFmt numFmtId="171" formatCode="dd\-mm\-yyyy"/>
  </numFmts>
  <fonts count="1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rgb="FF000000"/>
      <name val="Arial"/>
      <charset val="134"/>
      <scheme val="minor"/>
    </font>
    <font>
      <sz val="10"/>
      <color theme="4" tint="0.39997558519241921"/>
      <name val="Arial"/>
      <charset val="134"/>
    </font>
    <font>
      <sz val="10"/>
      <color rgb="FF8CB5F9"/>
      <name val="Arial"/>
    </font>
    <font>
      <sz val="10"/>
      <color theme="4" tint="0.39997558519241921"/>
      <name val="Arial"/>
      <charset val="134"/>
      <scheme val="minor"/>
    </font>
    <font>
      <sz val="10"/>
      <color rgb="FF8CB5F9"/>
      <name val="Arial"/>
      <scheme val="minor"/>
    </font>
    <font>
      <sz val="10"/>
      <color theme="4" tint="0.3999755851924192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3" fillId="4" borderId="0" xfId="0" applyFont="1" applyFill="1" applyAlignment="1"/>
    <xf numFmtId="0" fontId="7" fillId="0" borderId="0" xfId="0" applyFont="1" applyAlignment="1"/>
    <xf numFmtId="0" fontId="1" fillId="4" borderId="0" xfId="0" applyFont="1" applyFill="1" applyAlignment="1"/>
    <xf numFmtId="0" fontId="8" fillId="0" borderId="0" xfId="0" applyFont="1" applyAlignment="1"/>
    <xf numFmtId="0" fontId="5" fillId="4" borderId="0" xfId="0" applyFont="1" applyFill="1" applyAlignment="1"/>
    <xf numFmtId="0" fontId="9" fillId="0" borderId="0" xfId="0" applyFont="1" applyAlignment="1"/>
    <xf numFmtId="0" fontId="10" fillId="0" borderId="0" xfId="0" applyFont="1" applyAlignment="1"/>
    <xf numFmtId="0" fontId="5" fillId="4" borderId="0" xfId="0" applyFont="1" applyFill="1" applyAlignment="1">
      <alignment horizontal="right"/>
    </xf>
    <xf numFmtId="170" fontId="1" fillId="2" borderId="0" xfId="0" applyNumberFormat="1" applyFont="1" applyFill="1" applyAlignment="1">
      <alignment horizontal="left" vertical="center" indent="1"/>
    </xf>
    <xf numFmtId="170" fontId="2" fillId="0" borderId="0" xfId="0" applyNumberFormat="1" applyFont="1" applyAlignment="1">
      <alignment horizontal="left" vertical="center" wrapText="1" indent="1"/>
    </xf>
    <xf numFmtId="170" fontId="2" fillId="3" borderId="0" xfId="0" applyNumberFormat="1" applyFont="1" applyFill="1" applyAlignment="1">
      <alignment horizontal="left" vertical="center" indent="1"/>
    </xf>
    <xf numFmtId="170" fontId="2" fillId="0" borderId="0" xfId="0" applyNumberFormat="1" applyFont="1" applyAlignment="1">
      <alignment horizontal="left" vertical="center" indent="1"/>
    </xf>
    <xf numFmtId="170" fontId="0" fillId="0" borderId="0" xfId="0" applyNumberFormat="1" applyFont="1" applyAlignment="1">
      <alignment horizontal="left" vertical="center" indent="1"/>
    </xf>
    <xf numFmtId="171" fontId="1" fillId="2" borderId="0" xfId="0" applyNumberFormat="1" applyFont="1" applyFill="1" applyAlignment="1">
      <alignment horizontal="center"/>
    </xf>
    <xf numFmtId="171" fontId="2" fillId="0" borderId="0" xfId="0" applyNumberFormat="1" applyFont="1"/>
    <xf numFmtId="171" fontId="2" fillId="3" borderId="0" xfId="0" applyNumberFormat="1" applyFont="1" applyFill="1"/>
    <xf numFmtId="171" fontId="0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18">
    <dxf>
      <font>
        <color rgb="FF9C0006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topLeftCell="B7" workbookViewId="0">
      <selection activeCell="K23" sqref="K23"/>
    </sheetView>
  </sheetViews>
  <sheetFormatPr defaultColWidth="12.5703125" defaultRowHeight="15" customHeight="1"/>
  <cols>
    <col min="1" max="1" width="12.5703125" customWidth="1"/>
    <col min="2" max="2" width="18" style="24" customWidth="1"/>
    <col min="3" max="3" width="12.85546875" customWidth="1"/>
    <col min="4" max="4" width="14" customWidth="1"/>
    <col min="5" max="5" width="12.5703125" customWidth="1"/>
    <col min="6" max="6" width="22.28515625" customWidth="1"/>
    <col min="7" max="7" width="12.5703125" style="20" customWidth="1"/>
    <col min="8" max="9" width="12.5703125" customWidth="1"/>
    <col min="15" max="15" width="19.28515625" customWidth="1"/>
    <col min="17" max="17" width="8.85546875" customWidth="1"/>
  </cols>
  <sheetData>
    <row r="1" spans="1:19" ht="15.75" customHeight="1">
      <c r="A1" s="1" t="s">
        <v>0</v>
      </c>
      <c r="B1" s="2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6" t="s">
        <v>6</v>
      </c>
      <c r="H1" s="1" t="s">
        <v>7</v>
      </c>
      <c r="I1" s="1" t="s">
        <v>8</v>
      </c>
    </row>
    <row r="2" spans="1:19" ht="15.75" customHeight="1">
      <c r="A2" s="2" t="s">
        <v>9</v>
      </c>
      <c r="B2" s="22" t="str">
        <f>_xlfn.TEXTBEFORE(A2,"-",2)</f>
        <v>28-JAN</v>
      </c>
      <c r="C2" s="2" t="str">
        <f>_xlfn.TEXTAFTER(A2,"-",2)</f>
        <v>US</v>
      </c>
      <c r="D2" s="2" t="s">
        <v>10</v>
      </c>
      <c r="E2" s="2" t="s">
        <v>11</v>
      </c>
      <c r="F2" s="2" t="str">
        <f>CONCATENATE(D2,"-",E2)</f>
        <v>Laptop-Dell</v>
      </c>
      <c r="G2" s="17">
        <v>1000</v>
      </c>
      <c r="H2" s="2">
        <v>30</v>
      </c>
      <c r="I2" s="2" t="s">
        <v>12</v>
      </c>
      <c r="K2" s="6">
        <v>1</v>
      </c>
      <c r="L2" t="s">
        <v>13</v>
      </c>
      <c r="R2" t="s">
        <v>14</v>
      </c>
      <c r="S2" t="s">
        <v>15</v>
      </c>
    </row>
    <row r="3" spans="1:19" ht="15.75" customHeight="1">
      <c r="A3" s="3" t="s">
        <v>16</v>
      </c>
      <c r="B3" s="23" t="str">
        <f t="shared" ref="B3:B32" si="0">_xlfn.TEXTBEFORE(A3,"-",2)</f>
        <v>15-FEB</v>
      </c>
      <c r="C3" s="3" t="str">
        <f t="shared" ref="C3:C32" si="1">_xlfn.TEXTAFTER(A3,"-",2)</f>
        <v>US</v>
      </c>
      <c r="D3" s="3" t="s">
        <v>17</v>
      </c>
      <c r="E3" s="3" t="s">
        <v>18</v>
      </c>
      <c r="F3" s="3" t="str">
        <f t="shared" ref="F3:F32" si="2">CONCATENATE(D3,"-",E3)</f>
        <v>Sneakers-Nike</v>
      </c>
      <c r="G3" s="18">
        <v>80</v>
      </c>
      <c r="H3" s="3">
        <v>15</v>
      </c>
      <c r="I3" s="3" t="s">
        <v>19</v>
      </c>
      <c r="L3" s="8">
        <f>COUNTBLANK(G2:G35)</f>
        <v>6</v>
      </c>
      <c r="M3" s="4"/>
      <c r="N3" s="7" t="s">
        <v>20</v>
      </c>
      <c r="O3" s="4"/>
      <c r="P3" s="4"/>
      <c r="Q3" s="10">
        <f>AVERAGE(G2:G35)</f>
        <v>297.85714285714283</v>
      </c>
      <c r="R3" s="4"/>
      <c r="S3" s="9" t="s">
        <v>21</v>
      </c>
    </row>
    <row r="4" spans="1:19" ht="15.75" customHeight="1">
      <c r="A4" s="2" t="s">
        <v>22</v>
      </c>
      <c r="B4" s="22" t="str">
        <f t="shared" si="0"/>
        <v>03-MAR</v>
      </c>
      <c r="C4" s="2" t="str">
        <f t="shared" si="1"/>
        <v>US</v>
      </c>
      <c r="D4" s="2" t="s">
        <v>23</v>
      </c>
      <c r="E4" s="2" t="s">
        <v>24</v>
      </c>
      <c r="F4" s="2" t="str">
        <f t="shared" si="2"/>
        <v>Coffee Maker-Keurig</v>
      </c>
      <c r="G4" s="19">
        <v>130</v>
      </c>
      <c r="H4" s="2">
        <v>40</v>
      </c>
      <c r="I4" s="2" t="s">
        <v>25</v>
      </c>
      <c r="L4" s="4"/>
      <c r="M4" s="5"/>
      <c r="N4" s="4"/>
      <c r="O4" s="4"/>
      <c r="P4" s="4"/>
      <c r="Q4" s="4"/>
      <c r="R4" s="4"/>
      <c r="S4" s="4"/>
    </row>
    <row r="5" spans="1:19" ht="15.75" customHeight="1">
      <c r="A5" s="3" t="s">
        <v>26</v>
      </c>
      <c r="B5" s="23" t="str">
        <f t="shared" si="0"/>
        <v>11-APR</v>
      </c>
      <c r="C5" s="3" t="str">
        <f t="shared" si="1"/>
        <v>US</v>
      </c>
      <c r="D5" s="3" t="s">
        <v>27</v>
      </c>
      <c r="E5" s="3" t="s">
        <v>28</v>
      </c>
      <c r="F5" s="3" t="str">
        <f t="shared" si="2"/>
        <v>Smartphone-Samsung</v>
      </c>
      <c r="G5" s="18">
        <v>900</v>
      </c>
      <c r="H5" s="3">
        <v>25</v>
      </c>
      <c r="I5" s="3" t="s">
        <v>12</v>
      </c>
      <c r="K5" s="6">
        <v>2</v>
      </c>
      <c r="L5" s="4" t="s">
        <v>29</v>
      </c>
      <c r="M5" s="5"/>
      <c r="N5" s="4"/>
      <c r="O5" s="4"/>
      <c r="P5" s="4"/>
      <c r="Q5" s="4"/>
      <c r="R5" s="4" t="s">
        <v>30</v>
      </c>
      <c r="S5" s="4"/>
    </row>
    <row r="6" spans="1:19" ht="15.75" customHeight="1">
      <c r="A6" s="2" t="s">
        <v>31</v>
      </c>
      <c r="B6" s="22" t="str">
        <f t="shared" si="0"/>
        <v>22-MAY</v>
      </c>
      <c r="C6" s="2" t="str">
        <f t="shared" si="1"/>
        <v>US</v>
      </c>
      <c r="D6" s="2" t="s">
        <v>32</v>
      </c>
      <c r="E6" s="2" t="s">
        <v>33</v>
      </c>
      <c r="F6" s="2" t="str">
        <f t="shared" si="2"/>
        <v>Backpack-North Face</v>
      </c>
      <c r="G6" s="19">
        <v>70</v>
      </c>
      <c r="H6" s="2">
        <v>20</v>
      </c>
      <c r="I6" s="2"/>
      <c r="L6" s="12">
        <f>COUNTBLANK(I2:I35)</f>
        <v>7</v>
      </c>
      <c r="N6" s="11" t="s">
        <v>34</v>
      </c>
    </row>
    <row r="7" spans="1:19" ht="15.75" customHeight="1">
      <c r="A7" s="3" t="s">
        <v>35</v>
      </c>
      <c r="B7" s="23" t="str">
        <f t="shared" si="0"/>
        <v>07-JUN</v>
      </c>
      <c r="C7" s="3" t="str">
        <f t="shared" si="1"/>
        <v>UK</v>
      </c>
      <c r="D7" s="3" t="s">
        <v>36</v>
      </c>
      <c r="E7" s="3" t="s">
        <v>37</v>
      </c>
      <c r="F7" s="3" t="str">
        <f t="shared" si="2"/>
        <v>Headphones-Sony</v>
      </c>
      <c r="G7" s="18"/>
      <c r="H7" s="3">
        <v>45</v>
      </c>
      <c r="I7" s="3" t="s">
        <v>12</v>
      </c>
    </row>
    <row r="8" spans="1:19" ht="15.75" customHeight="1">
      <c r="A8" s="2" t="s">
        <v>38</v>
      </c>
      <c r="B8" s="22" t="str">
        <f t="shared" si="0"/>
        <v>19-JUL</v>
      </c>
      <c r="C8" s="2" t="str">
        <f t="shared" si="1"/>
        <v>UK</v>
      </c>
      <c r="D8" s="2" t="s">
        <v>39</v>
      </c>
      <c r="E8" s="2" t="s">
        <v>40</v>
      </c>
      <c r="F8" s="2" t="str">
        <f t="shared" si="2"/>
        <v>T-shirt-Adidas</v>
      </c>
      <c r="G8" s="19">
        <v>30</v>
      </c>
      <c r="H8" s="2">
        <v>5</v>
      </c>
      <c r="I8" s="2" t="s">
        <v>19</v>
      </c>
      <c r="K8" s="6">
        <v>3</v>
      </c>
      <c r="L8" t="s">
        <v>41</v>
      </c>
    </row>
    <row r="9" spans="1:19" ht="15.75" customHeight="1">
      <c r="A9" s="3" t="s">
        <v>42</v>
      </c>
      <c r="B9" s="23" t="str">
        <f t="shared" si="0"/>
        <v>23-AUG</v>
      </c>
      <c r="C9" s="3" t="str">
        <f t="shared" si="1"/>
        <v>UK</v>
      </c>
      <c r="D9" s="3" t="s">
        <v>43</v>
      </c>
      <c r="E9" s="3" t="s">
        <v>44</v>
      </c>
      <c r="F9" s="3" t="str">
        <f t="shared" si="2"/>
        <v>Blender-Ninja</v>
      </c>
      <c r="G9" s="18">
        <v>90</v>
      </c>
      <c r="H9" s="3">
        <v>35</v>
      </c>
      <c r="I9" s="3" t="s">
        <v>25</v>
      </c>
      <c r="L9" s="15" t="str">
        <f>PROPER(D2)</f>
        <v>Laptop</v>
      </c>
      <c r="N9" s="13" t="s">
        <v>45</v>
      </c>
    </row>
    <row r="10" spans="1:19" ht="15.75" customHeight="1">
      <c r="A10" s="2" t="s">
        <v>46</v>
      </c>
      <c r="B10" s="22" t="str">
        <f t="shared" si="0"/>
        <v>05-SEP</v>
      </c>
      <c r="C10" s="2" t="str">
        <f t="shared" si="1"/>
        <v>UK</v>
      </c>
      <c r="D10" s="2" t="s">
        <v>47</v>
      </c>
      <c r="E10" s="2" t="s">
        <v>48</v>
      </c>
      <c r="F10" s="2" t="str">
        <f t="shared" si="2"/>
        <v>Tablet-Apple</v>
      </c>
      <c r="G10" s="19">
        <v>500</v>
      </c>
      <c r="H10" s="2">
        <v>50</v>
      </c>
      <c r="I10" s="2" t="s">
        <v>12</v>
      </c>
      <c r="J10" s="24"/>
    </row>
    <row r="11" spans="1:19" ht="15.75" customHeight="1">
      <c r="A11" s="3" t="s">
        <v>49</v>
      </c>
      <c r="B11" s="23" t="str">
        <f t="shared" si="0"/>
        <v>14-OCT</v>
      </c>
      <c r="C11" s="3" t="str">
        <f t="shared" si="1"/>
        <v>UK</v>
      </c>
      <c r="D11" s="3" t="s">
        <v>50</v>
      </c>
      <c r="E11" s="3" t="s">
        <v>51</v>
      </c>
      <c r="F11" s="3" t="str">
        <f t="shared" si="2"/>
        <v>Hiking Boots-Timberland</v>
      </c>
      <c r="G11" s="18">
        <v>130</v>
      </c>
      <c r="H11" s="3">
        <v>10</v>
      </c>
      <c r="I11" s="3" t="s">
        <v>52</v>
      </c>
      <c r="K11" s="6">
        <v>4</v>
      </c>
      <c r="L11" t="s">
        <v>53</v>
      </c>
    </row>
    <row r="12" spans="1:19" ht="15.75" customHeight="1">
      <c r="A12" s="2" t="s">
        <v>54</v>
      </c>
      <c r="B12" s="22" t="str">
        <f t="shared" si="0"/>
        <v>17-JUN</v>
      </c>
      <c r="C12" s="2" t="str">
        <f t="shared" si="1"/>
        <v>IN</v>
      </c>
      <c r="D12" s="2" t="s">
        <v>10</v>
      </c>
      <c r="E12" s="2" t="s">
        <v>55</v>
      </c>
      <c r="F12" s="2" t="str">
        <f t="shared" si="2"/>
        <v>Laptop-HP</v>
      </c>
      <c r="G12" s="19">
        <v>950</v>
      </c>
      <c r="H12" s="2">
        <v>25</v>
      </c>
      <c r="I12" s="2" t="s">
        <v>12</v>
      </c>
      <c r="N12" s="14" t="s">
        <v>56</v>
      </c>
    </row>
    <row r="13" spans="1:19" ht="15.75" customHeight="1">
      <c r="A13" s="3" t="s">
        <v>57</v>
      </c>
      <c r="B13" s="23" t="str">
        <f t="shared" si="0"/>
        <v>25-NOV</v>
      </c>
      <c r="C13" s="3" t="str">
        <f t="shared" si="1"/>
        <v>AU</v>
      </c>
      <c r="D13" s="3" t="s">
        <v>17</v>
      </c>
      <c r="E13" s="3" t="s">
        <v>40</v>
      </c>
      <c r="F13" s="3" t="str">
        <f t="shared" si="2"/>
        <v>Sneakers-Adidas</v>
      </c>
      <c r="G13" s="18">
        <v>90</v>
      </c>
      <c r="H13" s="3">
        <v>40</v>
      </c>
      <c r="I13" s="3"/>
    </row>
    <row r="14" spans="1:19" ht="15.75" customHeight="1">
      <c r="A14" s="2" t="s">
        <v>58</v>
      </c>
      <c r="B14" s="22" t="str">
        <f t="shared" si="0"/>
        <v>08-DEC</v>
      </c>
      <c r="C14" s="2" t="str">
        <f t="shared" si="1"/>
        <v>DE</v>
      </c>
      <c r="D14" s="2" t="s">
        <v>23</v>
      </c>
      <c r="E14" s="2" t="s">
        <v>59</v>
      </c>
      <c r="F14" s="2" t="str">
        <f t="shared" si="2"/>
        <v>Coffee Maker-Nespresso</v>
      </c>
      <c r="G14" s="19">
        <v>120</v>
      </c>
      <c r="H14" s="2">
        <v>35</v>
      </c>
      <c r="I14" s="2"/>
      <c r="K14" s="6">
        <v>5</v>
      </c>
      <c r="L14" t="s">
        <v>60</v>
      </c>
      <c r="Q14" t="s">
        <v>61</v>
      </c>
    </row>
    <row r="15" spans="1:19" ht="15.75" customHeight="1">
      <c r="A15" s="3" t="s">
        <v>62</v>
      </c>
      <c r="B15" s="23" t="str">
        <f t="shared" si="0"/>
        <v>18-FEB</v>
      </c>
      <c r="C15" s="3" t="str">
        <f t="shared" si="1"/>
        <v>CA</v>
      </c>
      <c r="D15" s="3" t="s">
        <v>63</v>
      </c>
      <c r="E15" s="3" t="s">
        <v>64</v>
      </c>
      <c r="F15" s="3" t="str">
        <f t="shared" si="2"/>
        <v>Smartwatch-Fitbit</v>
      </c>
      <c r="G15" s="18">
        <v>150</v>
      </c>
      <c r="H15" s="3">
        <v>15</v>
      </c>
      <c r="I15" s="3" t="s">
        <v>12</v>
      </c>
      <c r="N15" s="13" t="s">
        <v>56</v>
      </c>
    </row>
    <row r="16" spans="1:19" ht="15.75" customHeight="1">
      <c r="A16" s="2" t="s">
        <v>65</v>
      </c>
      <c r="B16" s="22" t="str">
        <f t="shared" si="0"/>
        <v>16-APR</v>
      </c>
      <c r="C16" s="2" t="str">
        <f t="shared" si="1"/>
        <v>ES</v>
      </c>
      <c r="D16" s="2" t="s">
        <v>36</v>
      </c>
      <c r="E16" s="2" t="s">
        <v>66</v>
      </c>
      <c r="F16" s="2" t="str">
        <f t="shared" si="2"/>
        <v>Headphones-Bose</v>
      </c>
      <c r="G16" s="19">
        <v>250</v>
      </c>
      <c r="H16" s="2">
        <v>20</v>
      </c>
      <c r="I16" s="2" t="s">
        <v>12</v>
      </c>
    </row>
    <row r="17" spans="1:18" ht="15.75" customHeight="1">
      <c r="A17" s="3" t="s">
        <v>67</v>
      </c>
      <c r="B17" s="23" t="str">
        <f t="shared" si="0"/>
        <v>21-AUG</v>
      </c>
      <c r="C17" s="3" t="str">
        <f t="shared" si="1"/>
        <v>CA</v>
      </c>
      <c r="D17" s="3" t="s">
        <v>68</v>
      </c>
      <c r="E17" s="3" t="s">
        <v>69</v>
      </c>
      <c r="F17" s="3" t="str">
        <f t="shared" si="2"/>
        <v>Laptop Bag-Samsonite</v>
      </c>
      <c r="G17" s="18">
        <v>50</v>
      </c>
      <c r="H17" s="3">
        <v>35</v>
      </c>
      <c r="I17" s="3" t="s">
        <v>70</v>
      </c>
      <c r="K17" s="6">
        <v>6</v>
      </c>
      <c r="L17" t="s">
        <v>71</v>
      </c>
      <c r="R17" t="s">
        <v>72</v>
      </c>
    </row>
    <row r="18" spans="1:18" ht="15.75" customHeight="1">
      <c r="A18" s="2" t="s">
        <v>73</v>
      </c>
      <c r="B18" s="22" t="str">
        <f t="shared" si="0"/>
        <v>20-AUG</v>
      </c>
      <c r="C18" s="2" t="str">
        <f t="shared" si="1"/>
        <v>CN</v>
      </c>
      <c r="D18" s="2" t="s">
        <v>63</v>
      </c>
      <c r="E18" s="2" t="s">
        <v>74</v>
      </c>
      <c r="F18" s="2" t="str">
        <f t="shared" si="2"/>
        <v>Smartwatch-Huawei</v>
      </c>
      <c r="G18" s="19">
        <v>160</v>
      </c>
      <c r="H18" s="2">
        <v>15</v>
      </c>
      <c r="I18" s="2" t="s">
        <v>12</v>
      </c>
      <c r="N18" s="11" t="s">
        <v>75</v>
      </c>
    </row>
    <row r="19" spans="1:18" ht="15.75" customHeight="1">
      <c r="A19" s="3" t="s">
        <v>76</v>
      </c>
      <c r="B19" s="23" t="str">
        <f t="shared" si="0"/>
        <v>27-JAN</v>
      </c>
      <c r="C19" s="3" t="str">
        <f t="shared" si="1"/>
        <v>IT</v>
      </c>
      <c r="D19" s="3" t="s">
        <v>10</v>
      </c>
      <c r="E19" s="3" t="s">
        <v>77</v>
      </c>
      <c r="F19" s="3" t="str">
        <f t="shared" si="2"/>
        <v>Laptop-Asus</v>
      </c>
      <c r="G19" s="18">
        <v>980</v>
      </c>
      <c r="H19" s="3">
        <v>10</v>
      </c>
      <c r="I19" s="3" t="s">
        <v>12</v>
      </c>
    </row>
    <row r="20" spans="1:18" ht="15.75" customHeight="1">
      <c r="A20" s="2" t="s">
        <v>78</v>
      </c>
      <c r="B20" s="22" t="str">
        <f t="shared" si="0"/>
        <v>01-MAR</v>
      </c>
      <c r="C20" s="2" t="str">
        <f t="shared" si="1"/>
        <v>UK</v>
      </c>
      <c r="D20" s="2" t="s">
        <v>79</v>
      </c>
      <c r="E20" s="2" t="s">
        <v>80</v>
      </c>
      <c r="F20" s="2" t="str">
        <f t="shared" si="2"/>
        <v>Sunglasses-Oakley</v>
      </c>
      <c r="G20" s="19">
        <v>150</v>
      </c>
      <c r="H20" s="2">
        <v>15</v>
      </c>
      <c r="I20" s="2" t="s">
        <v>19</v>
      </c>
      <c r="K20" s="6">
        <v>7</v>
      </c>
      <c r="L20" t="s">
        <v>81</v>
      </c>
      <c r="Q20" t="s">
        <v>82</v>
      </c>
    </row>
    <row r="21" spans="1:18" ht="15.75" customHeight="1">
      <c r="A21" s="3" t="s">
        <v>83</v>
      </c>
      <c r="B21" s="23" t="str">
        <f t="shared" si="0"/>
        <v>14-AUG</v>
      </c>
      <c r="C21" s="3" t="str">
        <f t="shared" si="1"/>
        <v>US</v>
      </c>
      <c r="D21" s="3" t="s">
        <v>84</v>
      </c>
      <c r="E21" s="3" t="s">
        <v>85</v>
      </c>
      <c r="F21" s="3" t="str">
        <f t="shared" si="2"/>
        <v>Camping Tent-Coleman</v>
      </c>
      <c r="G21" s="18"/>
      <c r="H21" s="3">
        <v>10</v>
      </c>
      <c r="I21" s="3" t="s">
        <v>52</v>
      </c>
      <c r="N21" s="13" t="s">
        <v>86</v>
      </c>
    </row>
    <row r="22" spans="1:18" ht="15.75" customHeight="1">
      <c r="A22" s="2" t="s">
        <v>87</v>
      </c>
      <c r="B22" s="22" t="str">
        <f t="shared" si="0"/>
        <v>14-MAY</v>
      </c>
      <c r="C22" s="2" t="str">
        <f t="shared" si="1"/>
        <v>RU</v>
      </c>
      <c r="D22" s="2" t="s">
        <v>88</v>
      </c>
      <c r="E22" s="2" t="s">
        <v>89</v>
      </c>
      <c r="F22" s="2" t="str">
        <f t="shared" si="2"/>
        <v>Camera-Nikon</v>
      </c>
      <c r="G22" s="19">
        <v>700</v>
      </c>
      <c r="H22" s="2">
        <v>50</v>
      </c>
      <c r="I22" s="2" t="s">
        <v>12</v>
      </c>
    </row>
    <row r="23" spans="1:18" ht="15.75" customHeight="1">
      <c r="A23" s="3" t="s">
        <v>90</v>
      </c>
      <c r="B23" s="23" t="str">
        <f t="shared" si="0"/>
        <v>09-JAN</v>
      </c>
      <c r="C23" s="3" t="str">
        <f t="shared" si="1"/>
        <v>CA</v>
      </c>
      <c r="D23" s="3" t="s">
        <v>91</v>
      </c>
      <c r="E23" s="3" t="s">
        <v>92</v>
      </c>
      <c r="F23" s="3" t="str">
        <f t="shared" si="2"/>
        <v>Microwave-Panasonic</v>
      </c>
      <c r="G23" s="18">
        <v>80</v>
      </c>
      <c r="H23" s="3">
        <v>20</v>
      </c>
      <c r="I23" s="3" t="s">
        <v>25</v>
      </c>
      <c r="K23" s="6"/>
    </row>
    <row r="24" spans="1:18" ht="15.75" customHeight="1">
      <c r="A24" s="2" t="s">
        <v>93</v>
      </c>
      <c r="B24" s="22" t="str">
        <f t="shared" si="0"/>
        <v>19-JUL</v>
      </c>
      <c r="C24" s="2" t="str">
        <f t="shared" si="1"/>
        <v>BR</v>
      </c>
      <c r="D24" s="2" t="s">
        <v>94</v>
      </c>
      <c r="E24" s="2" t="s">
        <v>95</v>
      </c>
      <c r="F24" s="2" t="str">
        <f t="shared" si="2"/>
        <v>Fitness Tracker-Xiaomi</v>
      </c>
      <c r="G24" s="19">
        <v>150</v>
      </c>
      <c r="H24" s="2">
        <v>30</v>
      </c>
      <c r="I24" s="2"/>
    </row>
    <row r="25" spans="1:18" ht="15.75" customHeight="1">
      <c r="A25" s="2" t="s">
        <v>96</v>
      </c>
      <c r="B25" s="22" t="str">
        <f t="shared" si="0"/>
        <v>29-SEP</v>
      </c>
      <c r="C25" s="2" t="str">
        <f t="shared" si="1"/>
        <v>CA</v>
      </c>
      <c r="D25" s="2" t="s">
        <v>27</v>
      </c>
      <c r="E25" s="2" t="s">
        <v>97</v>
      </c>
      <c r="F25" s="2" t="str">
        <f t="shared" si="2"/>
        <v>Smartphone-Google</v>
      </c>
      <c r="G25" s="19">
        <v>800</v>
      </c>
      <c r="H25" s="2">
        <v>45</v>
      </c>
      <c r="I25" s="2" t="s">
        <v>12</v>
      </c>
    </row>
    <row r="26" spans="1:18" ht="15.75" customHeight="1">
      <c r="A26" s="3" t="s">
        <v>98</v>
      </c>
      <c r="B26" s="23" t="str">
        <f t="shared" si="0"/>
        <v>03-JUN</v>
      </c>
      <c r="C26" s="3" t="str">
        <f t="shared" si="1"/>
        <v>CA</v>
      </c>
      <c r="D26" s="3" t="s">
        <v>79</v>
      </c>
      <c r="E26" s="3" t="s">
        <v>99</v>
      </c>
      <c r="F26" s="3" t="str">
        <f t="shared" si="2"/>
        <v>Sunglasses-Ray-Ban</v>
      </c>
      <c r="G26" s="18"/>
      <c r="H26" s="3">
        <v>25</v>
      </c>
      <c r="I26" s="3" t="s">
        <v>19</v>
      </c>
    </row>
    <row r="27" spans="1:18" ht="15.75" customHeight="1">
      <c r="A27" s="2" t="s">
        <v>100</v>
      </c>
      <c r="B27" s="22" t="str">
        <f t="shared" si="0"/>
        <v>11-JUL</v>
      </c>
      <c r="C27" s="2" t="str">
        <f t="shared" si="1"/>
        <v>CA</v>
      </c>
      <c r="D27" s="2" t="s">
        <v>43</v>
      </c>
      <c r="E27" s="2" t="s">
        <v>101</v>
      </c>
      <c r="F27" s="2" t="str">
        <f t="shared" si="2"/>
        <v>Blender-Vitamix</v>
      </c>
      <c r="G27" s="19">
        <v>400</v>
      </c>
      <c r="H27" s="2">
        <v>40</v>
      </c>
      <c r="I27" s="2" t="s">
        <v>25</v>
      </c>
    </row>
    <row r="28" spans="1:18" ht="15.75" customHeight="1">
      <c r="A28" s="2" t="s">
        <v>102</v>
      </c>
      <c r="B28" s="22" t="str">
        <f t="shared" si="0"/>
        <v>07-MAR</v>
      </c>
      <c r="C28" s="2" t="str">
        <f t="shared" si="1"/>
        <v>CA</v>
      </c>
      <c r="D28" s="2" t="s">
        <v>103</v>
      </c>
      <c r="E28" s="2" t="s">
        <v>104</v>
      </c>
      <c r="F28" s="2" t="str">
        <f t="shared" si="2"/>
        <v>Dress-Zara</v>
      </c>
      <c r="G28" s="19">
        <v>60</v>
      </c>
      <c r="H28" s="2">
        <v>30</v>
      </c>
      <c r="I28" s="2" t="s">
        <v>19</v>
      </c>
    </row>
    <row r="29" spans="1:18" ht="15.75" customHeight="1">
      <c r="A29" s="3" t="s">
        <v>105</v>
      </c>
      <c r="B29" s="23" t="str">
        <f t="shared" si="0"/>
        <v>13-APR</v>
      </c>
      <c r="C29" s="3" t="str">
        <f t="shared" si="1"/>
        <v>CA</v>
      </c>
      <c r="D29" s="3" t="s">
        <v>106</v>
      </c>
      <c r="E29" s="3" t="s">
        <v>107</v>
      </c>
      <c r="F29" s="3" t="str">
        <f t="shared" si="2"/>
        <v>Toaster-Hamilton</v>
      </c>
      <c r="G29" s="18">
        <v>40</v>
      </c>
      <c r="H29" s="3">
        <v>10</v>
      </c>
      <c r="I29" s="3" t="s">
        <v>25</v>
      </c>
    </row>
    <row r="30" spans="1:18" ht="15.75" customHeight="1">
      <c r="A30" s="2" t="s">
        <v>108</v>
      </c>
      <c r="B30" s="22" t="str">
        <f t="shared" si="0"/>
        <v>24-MAY</v>
      </c>
      <c r="C30" s="2" t="str">
        <f t="shared" si="1"/>
        <v>CA</v>
      </c>
      <c r="D30" s="2" t="s">
        <v>94</v>
      </c>
      <c r="E30" s="2" t="s">
        <v>109</v>
      </c>
      <c r="F30" s="2" t="str">
        <f t="shared" si="2"/>
        <v>Fitness Tracker-Garmin</v>
      </c>
      <c r="G30" s="19">
        <v>130</v>
      </c>
      <c r="H30" s="2">
        <v>5</v>
      </c>
      <c r="I30" s="2" t="s">
        <v>12</v>
      </c>
    </row>
    <row r="31" spans="1:18" ht="15.75" customHeight="1">
      <c r="A31" s="3" t="s">
        <v>110</v>
      </c>
      <c r="B31" s="23" t="str">
        <f t="shared" si="0"/>
        <v>02-DEC</v>
      </c>
      <c r="C31" s="3" t="str">
        <f t="shared" si="1"/>
        <v>CA</v>
      </c>
      <c r="D31" s="3" t="s">
        <v>111</v>
      </c>
      <c r="E31" s="3" t="s">
        <v>112</v>
      </c>
      <c r="F31" s="3" t="str">
        <f t="shared" si="2"/>
        <v>Jeans-Levi's</v>
      </c>
      <c r="G31" s="18">
        <v>50</v>
      </c>
      <c r="H31" s="3">
        <v>50</v>
      </c>
      <c r="I31" s="3" t="s">
        <v>19</v>
      </c>
      <c r="L31" s="25"/>
    </row>
    <row r="32" spans="1:18" ht="15.75" customHeight="1">
      <c r="A32" s="3" t="s">
        <v>113</v>
      </c>
      <c r="B32" s="23" t="str">
        <f t="shared" si="0"/>
        <v>09-JUL</v>
      </c>
      <c r="C32" s="3" t="str">
        <f t="shared" si="1"/>
        <v>FR</v>
      </c>
      <c r="D32" s="3" t="s">
        <v>114</v>
      </c>
      <c r="E32" s="3" t="s">
        <v>115</v>
      </c>
      <c r="F32" s="3" t="str">
        <f t="shared" si="2"/>
        <v>Watch-Casio</v>
      </c>
      <c r="G32" s="18">
        <v>100</v>
      </c>
      <c r="H32" s="3">
        <v>20</v>
      </c>
      <c r="I32" s="3" t="s">
        <v>70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1:G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I1:I1048576">
    <cfRule type="containsText" dxfId="0" priority="1" operator="containsText" text="Electronics">
      <formula>NOT(ISERROR(SEARCH("Electronics",I1)))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2026-07-23T14:43:37Z</dcterms:created>
  <dcterms:modified xsi:type="dcterms:W3CDTF">2026-09-28T18:32:28Z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